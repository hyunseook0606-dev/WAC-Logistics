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DB" sheetId="1" state="visible" r:id="rId1"/>
    <sheet xmlns:r="http://schemas.openxmlformats.org/officeDocument/2006/relationships" name="Quote" sheetId="2" state="visible" r:id="rId2"/>
    <sheet xmlns:r="http://schemas.openxmlformats.org/officeDocument/2006/relationships"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&quot;$&quot;#,##0.00"/>
  </numFmts>
  <fonts count="14">
    <font>
      <name val="Calibri"/>
      <family val="2"/>
      <color theme="1"/>
      <sz val="11"/>
      <scheme val="minor"/>
    </font>
    <font>
      <name val="Calibri"/>
      <b val="1"/>
      <color rgb="001A2A3A"/>
      <sz val="16"/>
    </font>
    <font>
      <name val="Calibri"/>
      <color rgb="0064748B"/>
      <sz val="10"/>
    </font>
    <font>
      <name val="Calibri"/>
      <b val="1"/>
      <color rgb="00FFFFFF"/>
      <sz val="11"/>
    </font>
    <font>
      <name val="Calibri"/>
      <b val="1"/>
      <color rgb="0064748B"/>
      <sz val="10"/>
    </font>
    <font>
      <name val="Calibri"/>
      <b val="1"/>
      <color rgb="001A2A3A"/>
      <sz val="12"/>
    </font>
    <font>
      <name val="Calibri"/>
      <color rgb="0064748B"/>
      <sz val="9"/>
    </font>
    <font>
      <name val="Calibri"/>
      <b val="1"/>
      <color rgb="00F05023"/>
      <sz val="12"/>
    </font>
    <font>
      <name val="Calibri"/>
      <b val="1"/>
      <color rgb="00FFFFFF"/>
      <sz val="10"/>
    </font>
    <font>
      <name val="Calibri"/>
      <b val="1"/>
      <color rgb="001A2A3A"/>
      <sz val="11"/>
    </font>
    <font>
      <name val="Calibri"/>
      <b val="1"/>
      <color rgb="001A2A3A"/>
      <sz val="18"/>
    </font>
    <font>
      <name val="Calibri"/>
      <color rgb="001A2A3A"/>
      <sz val="11"/>
    </font>
    <font>
      <name val="Calibri"/>
      <b val="1"/>
      <color rgb="00166534"/>
      <sz val="12"/>
    </font>
    <font>
      <name val="Calibri"/>
      <b val="1"/>
      <color rgb="001A2A3A"/>
      <sz val="26"/>
    </font>
  </fonts>
  <fills count="10">
    <fill>
      <patternFill/>
    </fill>
    <fill>
      <patternFill patternType="gray125"/>
    </fill>
    <fill>
      <patternFill patternType="solid">
        <fgColor rgb="001A2A3A"/>
      </patternFill>
    </fill>
    <fill>
      <patternFill patternType="solid">
        <fgColor rgb="00FFFFFF"/>
      </patternFill>
    </fill>
    <fill>
      <patternFill patternType="solid">
        <fgColor rgb="00FFF7ED"/>
      </patternFill>
    </fill>
    <fill>
      <patternFill patternType="solid">
        <fgColor rgb="00FEF3C7"/>
      </patternFill>
    </fill>
    <fill>
      <patternFill patternType="solid">
        <fgColor rgb="00F8FAFC"/>
      </patternFill>
    </fill>
    <fill>
      <patternFill patternType="solid">
        <fgColor rgb="00F05023"/>
      </patternFill>
    </fill>
    <fill>
      <patternFill patternType="solid">
        <fgColor rgb="00DCFCE7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4" fillId="3" borderId="1" applyAlignment="1" pivotButton="0" quotePrefix="0" xfId="0">
      <alignment horizontal="left" vertical="center" indent="1"/>
    </xf>
    <xf numFmtId="1" fontId="5" fillId="5" borderId="1" applyAlignment="1" applyProtection="1" pivotButton="0" quotePrefix="0" xfId="0">
      <alignment horizontal="center" vertical="center"/>
      <protection locked="0" hidden="0"/>
    </xf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9" fillId="4" borderId="1" applyAlignment="1" applyProtection="1" pivotButton="0" quotePrefix="0" xfId="0">
      <alignment horizontal="center" vertical="center"/>
      <protection locked="0" hidden="0"/>
    </xf>
    <xf numFmtId="2" fontId="0" fillId="5" borderId="1" applyAlignment="1" applyProtection="1" pivotButton="0" quotePrefix="0" xfId="0">
      <alignment horizontal="center" vertical="center"/>
      <protection locked="0" hidden="0"/>
    </xf>
    <xf numFmtId="0" fontId="8" fillId="2" borderId="1" applyAlignment="1" pivotButton="0" quotePrefix="0" xfId="0">
      <alignment horizontal="center"/>
    </xf>
    <xf numFmtId="0" fontId="0" fillId="6" borderId="1" applyAlignment="1" applyProtection="1" pivotButton="0" quotePrefix="0" xfId="0">
      <alignment horizontal="center"/>
      <protection locked="0" hidden="0"/>
    </xf>
    <xf numFmtId="2" fontId="0" fillId="5" borderId="1" applyAlignment="1" applyProtection="1" pivotButton="0" quotePrefix="0" xfId="0">
      <alignment horizontal="center"/>
      <protection locked="0" hidden="0"/>
    </xf>
    <xf numFmtId="0" fontId="10" fillId="0" borderId="0" pivotButton="0" quotePrefix="0" xfId="0"/>
    <xf numFmtId="0" fontId="3" fillId="7" borderId="1" applyAlignment="1" pivotButton="0" quotePrefix="0" xfId="0">
      <alignment horizontal="left" vertical="center" indent="1"/>
    </xf>
    <xf numFmtId="0" fontId="0" fillId="7" borderId="1" pivotButton="0" quotePrefix="0" xfId="0"/>
    <xf numFmtId="49" fontId="5" fillId="4" borderId="1" applyAlignment="1" applyProtection="1" pivotButton="0" quotePrefix="0" xfId="0">
      <alignment horizontal="center" vertical="center"/>
      <protection locked="0" hidden="0"/>
    </xf>
    <xf numFmtId="164" fontId="11" fillId="6" borderId="1" applyAlignment="1" pivotButton="0" quotePrefix="0" xfId="0">
      <alignment horizontal="center" vertical="center"/>
    </xf>
    <xf numFmtId="165" fontId="13" fillId="4" borderId="1" applyAlignment="1" pivotButton="0" quotePrefix="0" xfId="0">
      <alignment horizontal="center" vertical="center"/>
    </xf>
    <xf numFmtId="0" fontId="0" fillId="4" borderId="1" pivotButton="0" quotePrefix="0" xfId="0"/>
    <xf numFmtId="1" fontId="5" fillId="4" borderId="1" applyAlignment="1" applyProtection="1" pivotButton="0" quotePrefix="0" xfId="0">
      <alignment horizontal="center" vertical="center"/>
      <protection locked="0" hidden="0"/>
    </xf>
    <xf numFmtId="2" fontId="11" fillId="6" borderId="1" applyAlignment="1" pivotButton="0" quotePrefix="0" xfId="0">
      <alignment horizontal="center" vertical="center"/>
    </xf>
    <xf numFmtId="2" fontId="12" fillId="8" borderId="1" applyAlignment="1" pivotButton="0" quotePrefix="0" xfId="0">
      <alignment horizontal="center" vertical="center"/>
    </xf>
    <xf numFmtId="49" fontId="11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2" fontId="5" fillId="4" borderId="1" applyAlignment="1" applyProtection="1" pivotButton="0" quotePrefix="0" xfId="0">
      <alignment horizontal="center" vertical="center"/>
      <protection locked="0" hidden="0"/>
    </xf>
    <xf numFmtId="2" fontId="9" fillId="6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9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0" fontId="2" fillId="6" borderId="1" applyAlignment="1" pivotButton="0" quotePrefix="0" xfId="0">
      <alignment horizontal="center" vertical="center"/>
    </xf>
    <xf numFmtId="0" fontId="0" fillId="6" borderId="1" pivotButton="0" quotePrefix="0" xfId="0"/>
    <xf numFmtId="165" fontId="9" fillId="6" borderId="1" applyAlignment="1" pivotButton="0" quotePrefix="0" xfId="0">
      <alignment horizontal="center" vertical="center"/>
    </xf>
    <xf numFmtId="0" fontId="11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/>
    </xf>
    <xf numFmtId="2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Master_DB  (Backend)</t>
        </is>
      </c>
    </row>
    <row r="2">
      <c r="A2" s="2" t="inlineStr">
        <is>
          <t>노란 칸만 수정 · Quote 단가는 전부 이 시트 참조 (하드코딩 금지)</t>
        </is>
      </c>
    </row>
    <row r="4">
      <c r="A4" s="3" t="inlineStr">
        <is>
          <t>PARAMETERS</t>
        </is>
      </c>
      <c r="B4" s="4" t="n"/>
    </row>
    <row r="5">
      <c r="A5" s="5" t="inlineStr">
        <is>
          <t>Vol factor (kg/CBM)</t>
        </is>
      </c>
      <c r="B5" s="6" t="n">
        <v>167</v>
      </c>
      <c r="C5" s="7" t="inlineStr">
        <is>
          <t>CBM x 167 = 부피중량</t>
        </is>
      </c>
    </row>
    <row r="6">
      <c r="A6" s="5" t="inlineStr">
        <is>
          <t>CBM divisor (cm)</t>
        </is>
      </c>
      <c r="B6" s="6" t="n">
        <v>1000000</v>
      </c>
      <c r="C6" s="7" t="inlineStr">
        <is>
          <t>L x W x H x Qty / 1,000,000</t>
        </is>
      </c>
    </row>
    <row r="8">
      <c r="A8" s="3" t="inlineStr">
        <is>
          <t>WEIGHT BREAK (kg)</t>
        </is>
      </c>
      <c r="B8" s="4" t="n"/>
    </row>
    <row r="9">
      <c r="A9" s="5" t="inlineStr">
        <is>
          <t>WB_45</t>
        </is>
      </c>
      <c r="B9" s="6" t="n">
        <v>45</v>
      </c>
    </row>
    <row r="10">
      <c r="A10" s="5" t="inlineStr">
        <is>
          <t>WB_100</t>
        </is>
      </c>
      <c r="B10" s="6" t="n">
        <v>100</v>
      </c>
    </row>
    <row r="11">
      <c r="A11" s="5" t="inlineStr">
        <is>
          <t>WB_500</t>
        </is>
      </c>
      <c r="B11" s="6" t="n">
        <v>500</v>
      </c>
    </row>
    <row r="12">
      <c r="A12" s="5" t="inlineStr">
        <is>
          <t>WB_1000</t>
        </is>
      </c>
      <c r="B12" s="6" t="n">
        <v>1000</v>
      </c>
    </row>
    <row r="14">
      <c r="A14" s="8" t="inlineStr">
        <is>
          <t>1. Air freight &amp; surcharge</t>
        </is>
      </c>
    </row>
    <row r="15">
      <c r="A15" s="9" t="inlineStr">
        <is>
          <t>ROUTE</t>
        </is>
      </c>
      <c r="B15" s="9" t="inlineStr">
        <is>
          <t>MIN</t>
        </is>
      </c>
      <c r="C15" s="9" t="inlineStr">
        <is>
          <t>+45</t>
        </is>
      </c>
      <c r="D15" s="9" t="inlineStr">
        <is>
          <t>+100</t>
        </is>
      </c>
      <c r="E15" s="9" t="inlineStr">
        <is>
          <t>+500</t>
        </is>
      </c>
      <c r="F15" s="9" t="inlineStr">
        <is>
          <t>+1000</t>
        </is>
      </c>
      <c r="G15" s="9" t="inlineStr">
        <is>
          <t>FSC/kg</t>
        </is>
      </c>
      <c r="H15" s="9" t="inlineStr">
        <is>
          <t>SSC/kg</t>
        </is>
      </c>
    </row>
    <row r="16">
      <c r="A16" s="10" t="inlineStr">
        <is>
          <t>ICN-HKG</t>
        </is>
      </c>
      <c r="B16" s="11" t="n">
        <v>50</v>
      </c>
      <c r="C16" s="11" t="n">
        <v>4.5</v>
      </c>
      <c r="D16" s="11" t="n">
        <v>3.8</v>
      </c>
      <c r="E16" s="11" t="n">
        <v>3.2</v>
      </c>
      <c r="F16" s="11" t="n">
        <v>2.8</v>
      </c>
      <c r="G16" s="11" t="n">
        <v>0.6</v>
      </c>
      <c r="H16" s="11" t="n">
        <v>0.15</v>
      </c>
    </row>
    <row r="17">
      <c r="A17" s="10" t="inlineStr">
        <is>
          <t>ICN-LAX</t>
        </is>
      </c>
      <c r="B17" s="11" t="n">
        <v>90</v>
      </c>
      <c r="C17" s="11" t="n">
        <v>8.5</v>
      </c>
      <c r="D17" s="11" t="n">
        <v>7.2</v>
      </c>
      <c r="E17" s="11" t="n">
        <v>6.5</v>
      </c>
      <c r="F17" s="11" t="n">
        <v>5.8</v>
      </c>
      <c r="G17" s="11" t="n">
        <v>1.2</v>
      </c>
      <c r="H17" s="11" t="n">
        <v>0.25</v>
      </c>
    </row>
    <row r="19">
      <c r="A19" s="8" t="inlineStr">
        <is>
          <t>2. Local charges</t>
        </is>
      </c>
    </row>
    <row r="20">
      <c r="A20" s="12" t="inlineStr">
        <is>
          <t>Charge Item</t>
        </is>
      </c>
      <c r="B20" s="12" t="inlineStr">
        <is>
          <t>Unit</t>
        </is>
      </c>
      <c r="C20" s="12" t="inlineStr">
        <is>
          <t>Rate</t>
        </is>
      </c>
      <c r="D20" s="12" t="inlineStr">
        <is>
          <t>MIN</t>
        </is>
      </c>
      <c r="E20" s="12" t="inlineStr">
        <is>
          <t>Note</t>
        </is>
      </c>
    </row>
    <row r="21">
      <c r="A21" s="13" t="inlineStr">
        <is>
          <t>Handling Fee</t>
        </is>
      </c>
      <c r="B21" s="13" t="inlineStr">
        <is>
          <t>Per Shipment</t>
        </is>
      </c>
      <c r="C21" s="14" t="n">
        <v>30</v>
      </c>
      <c r="D21" s="14" t="n">
        <v>30</v>
      </c>
      <c r="E21" s="13" t="inlineStr">
        <is>
          <t>건당</t>
        </is>
      </c>
    </row>
    <row r="22">
      <c r="A22" s="13" t="inlineStr">
        <is>
          <t>Doc Fee</t>
        </is>
      </c>
      <c r="B22" s="13" t="inlineStr">
        <is>
          <t>Per BL</t>
        </is>
      </c>
      <c r="C22" s="14" t="n">
        <v>25</v>
      </c>
      <c r="D22" s="14" t="n">
        <v>25</v>
      </c>
      <c r="E22" s="13" t="inlineStr">
        <is>
          <t>BL당</t>
        </is>
      </c>
    </row>
    <row r="23">
      <c r="A23" s="13" t="inlineStr">
        <is>
          <t>Trucking</t>
        </is>
      </c>
      <c r="B23" s="13" t="inlineStr">
        <is>
          <t>Per CBM</t>
        </is>
      </c>
      <c r="C23" s="14" t="n">
        <v>15</v>
      </c>
      <c r="D23" s="14" t="n">
        <v>80</v>
      </c>
      <c r="E23" s="13" t="inlineStr">
        <is>
          <t>부피, MIN</t>
        </is>
      </c>
    </row>
    <row r="25">
      <c r="A25" s="7" t="inlineStr">
        <is>
          <t>행 16-17 / 21-23 삭제 금지 (Quote lookup 범위)</t>
        </is>
      </c>
    </row>
  </sheetData>
  <mergeCells count="5">
    <mergeCell ref="A4:B4"/>
    <mergeCell ref="A2:H2"/>
    <mergeCell ref="A14:H14"/>
    <mergeCell ref="A1:H1"/>
    <mergeCell ref="A8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4" customWidth="1" min="3" max="3"/>
    <col width="2" customWidth="1" min="4" max="4"/>
    <col width="18" customWidth="1" min="5" max="5"/>
    <col width="14" customWidth="1" min="6" max="6"/>
    <col width="2" customWidth="1" min="7" max="7"/>
    <col width="14" customWidth="1" min="8" max="8"/>
    <col width="14" customWidth="1" min="9" max="9"/>
  </cols>
  <sheetData>
    <row r="1" ht="22" customHeight="1"/>
    <row r="2" ht="30" customHeight="1">
      <c r="B2" s="15" t="inlineStr">
        <is>
          <t>항공 가견적 시뮬레이터</t>
        </is>
      </c>
    </row>
    <row r="3" ht="22" customHeight="1">
      <c r="B3" s="7" t="inlineStr">
        <is>
          <t>주황 칸만 입력 · 단가는 Master_DB 자동 조회 · 가견적(APPX), 최종 INV 아님</t>
        </is>
      </c>
    </row>
    <row r="4" ht="22" customHeight="1"/>
    <row r="5" ht="22" customHeight="1">
      <c r="B5" s="16" t="inlineStr">
        <is>
          <t>1. 화물 입력</t>
        </is>
      </c>
      <c r="C5" s="17" t="n"/>
      <c r="E5" s="3" t="inlineStr">
        <is>
          <t>2. 자동 계산</t>
        </is>
      </c>
      <c r="F5" s="4" t="n"/>
      <c r="H5" s="16" t="inlineStr">
        <is>
          <t>TOTAL APPX. AMOUNT</t>
        </is>
      </c>
      <c r="I5" s="17" t="n"/>
    </row>
    <row r="6" ht="24" customHeight="1">
      <c r="B6" s="5" t="inlineStr">
        <is>
          <t>Route</t>
        </is>
      </c>
      <c r="C6" s="18" t="inlineStr">
        <is>
          <t>ICN-HKG</t>
        </is>
      </c>
      <c r="E6" s="5" t="inlineStr">
        <is>
          <t>CBM</t>
        </is>
      </c>
      <c r="F6" s="19">
        <f>IFERROR(IF(COUNTA(C7:C10)&lt;4,"",C7*C8*C9*C10/Master_DB!$B$6),"")</f>
        <v/>
      </c>
      <c r="H6" s="20">
        <f>IFERROR(IF(H17="","",SUM(H17:H22)),"")</f>
        <v/>
      </c>
      <c r="I6" s="21" t="n"/>
    </row>
    <row r="7" ht="24" customHeight="1">
      <c r="B7" s="5" t="inlineStr">
        <is>
          <t>L (cm)</t>
        </is>
      </c>
      <c r="C7" s="22" t="n">
        <v>110</v>
      </c>
      <c r="E7" s="5" t="inlineStr">
        <is>
          <t>부피중량 (KG)</t>
        </is>
      </c>
      <c r="F7" s="23">
        <f>IFERROR(IF(F6="","",F6*Master_DB!$B$5),"")</f>
        <v/>
      </c>
      <c r="H7" s="21" t="n"/>
      <c r="I7" s="21" t="n"/>
    </row>
    <row r="8" ht="24" customHeight="1">
      <c r="B8" s="5" t="inlineStr">
        <is>
          <t>W (cm)</t>
        </is>
      </c>
      <c r="C8" s="22" t="n">
        <v>110</v>
      </c>
      <c r="E8" s="5" t="inlineStr">
        <is>
          <t>C.W. (KG)</t>
        </is>
      </c>
      <c r="F8" s="24">
        <f>IFERROR(IF(OR(C11="",F7=""),"",MAX(C11,F7)),"")</f>
        <v/>
      </c>
      <c r="H8" s="21" t="n"/>
      <c r="I8" s="21" t="n"/>
    </row>
    <row r="9" ht="24" customHeight="1">
      <c r="B9" s="5" t="inlineStr">
        <is>
          <t>H (cm)</t>
        </is>
      </c>
      <c r="C9" s="22" t="n">
        <v>150</v>
      </c>
      <c r="E9" s="5" t="inlineStr">
        <is>
          <t>Weight Break</t>
        </is>
      </c>
      <c r="F9" s="25">
        <f>IFERROR(IF(F8="","",IF(F8&gt;=Master_DB!$B$12,"+1000",IF(F8&gt;=Master_DB!$B$11,"+500",IF(F8&gt;=Master_DB!$B$10,"+100","+45")))),"")</f>
        <v/>
      </c>
    </row>
    <row r="10" ht="24" customHeight="1">
      <c r="B10" s="5" t="inlineStr">
        <is>
          <t>Qty (pcs)</t>
        </is>
      </c>
      <c r="C10" s="22" t="n">
        <v>3</v>
      </c>
      <c r="E10" s="5" t="inlineStr">
        <is>
          <t>Air Rate ($/kg)</t>
        </is>
      </c>
      <c r="F10" s="23">
        <f>IFERROR(IF(OR(C6="",F8=""),"",IF(F8&gt;=Master_DB!$B$12,VLOOKUP(C6,Master_DB!$A$16:$H$17,6,FALSE),IF(F8&gt;=Master_DB!$B$11,VLOOKUP(C6,Master_DB!$A$16:$H$17,5,FALSE),IF(F8&gt;=Master_DB!$B$10,VLOOKUP(C6,Master_DB!$A$16:$H$17,4,FALSE),VLOOKUP(C6,Master_DB!$A$16:$H$17,3,FALSE))))),"")</f>
        <v/>
      </c>
      <c r="H10" s="5" t="inlineStr">
        <is>
          <t>Currency</t>
        </is>
      </c>
      <c r="I10" s="26" t="inlineStr">
        <is>
          <t>USD</t>
        </is>
      </c>
    </row>
    <row r="11" ht="24" customHeight="1">
      <c r="B11" s="5" t="inlineStr">
        <is>
          <t>Gross (KG)</t>
        </is>
      </c>
      <c r="C11" s="27" t="n">
        <v>400</v>
      </c>
      <c r="E11" s="5" t="inlineStr">
        <is>
          <t>Air MIN ($)</t>
        </is>
      </c>
      <c r="F11" s="23">
        <f>IFERROR(IF(C6="","",VLOOKUP(C6,Master_DB!$A$16:$H$17,2,FALSE)),"")</f>
        <v/>
      </c>
      <c r="H11" s="5" t="inlineStr">
        <is>
          <t>Route</t>
        </is>
      </c>
      <c r="I11" s="26">
        <f>IFERROR(C6,"")</f>
        <v/>
      </c>
    </row>
    <row r="12" ht="24" customHeight="1">
      <c r="B12" s="5" t="inlineStr">
        <is>
          <t>B/L 수</t>
        </is>
      </c>
      <c r="C12" s="22" t="n">
        <v>1</v>
      </c>
      <c r="E12" s="5" t="inlineStr">
        <is>
          <t>FSC ($/kg)</t>
        </is>
      </c>
      <c r="F12" s="23">
        <f>IFERROR(IF(C6="","",VLOOKUP(C6,Master_DB!$A$16:$H$17,7,FALSE)),"")</f>
        <v/>
      </c>
      <c r="H12" s="5" t="inlineStr">
        <is>
          <t>C.W.</t>
        </is>
      </c>
      <c r="I12" s="28">
        <f>IFERROR(F8,"")</f>
        <v/>
      </c>
    </row>
    <row r="13" ht="24" customHeight="1">
      <c r="E13" s="5" t="inlineStr">
        <is>
          <t>SSC ($/kg)</t>
        </is>
      </c>
      <c r="F13" s="23">
        <f>IFERROR(IF(C6="","",VLOOKUP(C6,Master_DB!$A$16:$H$17,8,FALSE)),"")</f>
        <v/>
      </c>
    </row>
    <row r="14" ht="22" customHeight="1"/>
    <row r="15" ht="22" customHeight="1">
      <c r="B15" s="3" t="inlineStr">
        <is>
          <t>3. 비용 내역 (Breakdown)</t>
        </is>
      </c>
      <c r="C15" s="4" t="n"/>
      <c r="D15" s="4" t="n"/>
      <c r="E15" s="4" t="n"/>
      <c r="F15" s="4" t="n"/>
      <c r="G15" s="4" t="n"/>
      <c r="H15" s="4" t="n"/>
      <c r="I15" s="4" t="n"/>
    </row>
    <row r="16" ht="22" customHeight="1">
      <c r="B16" s="29" t="inlineStr">
        <is>
          <t>항목</t>
        </is>
      </c>
      <c r="C16" s="30" t="n"/>
      <c r="E16" s="29" t="inlineStr">
        <is>
          <t>단위</t>
        </is>
      </c>
      <c r="F16" s="30" t="n"/>
      <c r="H16" s="29" t="inlineStr">
        <is>
          <t>금액 (USD)</t>
        </is>
      </c>
      <c r="I16" s="30" t="n"/>
    </row>
    <row r="17" ht="26" customHeight="1">
      <c r="B17" s="31" t="inlineStr">
        <is>
          <t>Air Freight</t>
        </is>
      </c>
      <c r="C17" s="32" t="n"/>
      <c r="E17" s="33">
        <f>IFERROR(F9,"")</f>
        <v/>
      </c>
      <c r="F17" s="34" t="n"/>
      <c r="H17" s="35">
        <f>IFERROR(IF(OR(F10="",F8="",F11=""),"",MAX(F10*F8,F11)),"")</f>
        <v/>
      </c>
      <c r="I17" s="34" t="n"/>
    </row>
    <row r="18" ht="26" customHeight="1">
      <c r="B18" s="31" t="inlineStr">
        <is>
          <t>FSC</t>
        </is>
      </c>
      <c r="C18" s="32" t="n"/>
      <c r="E18" s="33" t="inlineStr">
        <is>
          <t>Per KG</t>
        </is>
      </c>
      <c r="F18" s="34" t="n"/>
      <c r="H18" s="35">
        <f>IFERROR(IF(OR(F12="",F8=""),"",F12*F8),"")</f>
        <v/>
      </c>
      <c r="I18" s="34" t="n"/>
    </row>
    <row r="19" ht="26" customHeight="1">
      <c r="B19" s="31" t="inlineStr">
        <is>
          <t>SSC</t>
        </is>
      </c>
      <c r="C19" s="32" t="n"/>
      <c r="E19" s="33" t="inlineStr">
        <is>
          <t>Per KG</t>
        </is>
      </c>
      <c r="F19" s="34" t="n"/>
      <c r="H19" s="35">
        <f>IFERROR(IF(OR(F13="",F8=""),"",F13*F8),"")</f>
        <v/>
      </c>
      <c r="I19" s="34" t="n"/>
    </row>
    <row r="20" ht="26" customHeight="1">
      <c r="B20" s="31" t="inlineStr">
        <is>
          <t>Handling Fee</t>
        </is>
      </c>
      <c r="C20" s="32" t="n"/>
      <c r="E20" s="33">
        <f>IFERROR(INDEX(Master_DB!$B$21:$B$23,MATCH("Handling Fee",Master_DB!$A$21:$A$23,0)),"")</f>
        <v/>
      </c>
      <c r="F20" s="34" t="n"/>
      <c r="H20" s="35">
        <f>IFERROR(MAX(INDEX(Master_DB!$C$21:$C$23,MATCH("Handling Fee",Master_DB!$A$21:$A$23,0)),INDEX(Master_DB!$D$21:$D$23,MATCH("Handling Fee",Master_DB!$A$21:$A$23,0))),"")</f>
        <v/>
      </c>
      <c r="I20" s="34" t="n"/>
    </row>
    <row r="21" ht="26" customHeight="1">
      <c r="B21" s="31" t="inlineStr">
        <is>
          <t>Doc Fee</t>
        </is>
      </c>
      <c r="C21" s="32" t="n"/>
      <c r="E21" s="33">
        <f>IFERROR(INDEX(Master_DB!$B$21:$B$23,MATCH("Doc Fee",Master_DB!$A$21:$A$23,0)),"")</f>
        <v/>
      </c>
      <c r="F21" s="34" t="n"/>
      <c r="H21" s="35">
        <f>IFERROR(IF(C12="","",MAX(INDEX(Master_DB!$C$21:$C$23,MATCH("Doc Fee",Master_DB!$A$21:$A$23,0)),INDEX(Master_DB!$D$21:$D$23,MATCH("Doc Fee",Master_DB!$A$21:$A$23,0)))*C12),"")</f>
        <v/>
      </c>
      <c r="I21" s="34" t="n"/>
    </row>
    <row r="22" ht="26" customHeight="1">
      <c r="B22" s="31" t="inlineStr">
        <is>
          <t>Trucking</t>
        </is>
      </c>
      <c r="C22" s="32" t="n"/>
      <c r="E22" s="33">
        <f>IFERROR(INDEX(Master_DB!$B$21:$B$23,MATCH("Trucking",Master_DB!$A$21:$A$23,0)),"")</f>
        <v/>
      </c>
      <c r="F22" s="34" t="n"/>
      <c r="H22" s="35">
        <f>IFERROR(IF(F6="","",MAX(INDEX(Master_DB!$C$21:$C$23,MATCH("Trucking",Master_DB!$A$21:$A$23,0))*F6,INDEX(Master_DB!$D$21:$D$23,MATCH("Trucking",Master_DB!$A$21:$A$23,0)))),"")</f>
        <v/>
      </c>
      <c r="I22" s="34" t="n"/>
    </row>
    <row r="23" ht="22" customHeight="1"/>
    <row r="24" ht="22" customHeight="1">
      <c r="B24" s="7" t="inlineStr">
        <is>
          <t>CASE 입력값·기대결과는 Guide 시트  |  요율 변경은 Master_DB 노란 칸만</t>
        </is>
      </c>
    </row>
    <row r="25" ht="22" customHeight="1"/>
    <row r="26" ht="22" customHeight="1"/>
    <row r="27" ht="22" customHeight="1"/>
    <row r="28" ht="22" customHeight="1"/>
    <row r="29" ht="22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9">
    <mergeCell ref="B16:C16"/>
    <mergeCell ref="H20:I20"/>
    <mergeCell ref="E5:F5"/>
    <mergeCell ref="B3:I3"/>
    <mergeCell ref="B22:C22"/>
    <mergeCell ref="B18:C18"/>
    <mergeCell ref="E17:F17"/>
    <mergeCell ref="B21:C21"/>
    <mergeCell ref="E20:F20"/>
    <mergeCell ref="H21:I21"/>
    <mergeCell ref="B2:I2"/>
    <mergeCell ref="E19:F19"/>
    <mergeCell ref="B17:C17"/>
    <mergeCell ref="H6:I8"/>
    <mergeCell ref="H17:I17"/>
    <mergeCell ref="H16:I16"/>
    <mergeCell ref="B19:C19"/>
    <mergeCell ref="H19:I19"/>
    <mergeCell ref="H22:I22"/>
    <mergeCell ref="E16:F16"/>
    <mergeCell ref="B15:I15"/>
    <mergeCell ref="B5:C5"/>
    <mergeCell ref="B20:C20"/>
    <mergeCell ref="B24:I24"/>
    <mergeCell ref="H18:I18"/>
    <mergeCell ref="H5:I5"/>
    <mergeCell ref="E22:F22"/>
    <mergeCell ref="E18:F18"/>
    <mergeCell ref="E21:F21"/>
  </mergeCells>
  <dataValidations count="1">
    <dataValidation sqref="C6" showDropDown="0" showInputMessage="0" showErrorMessage="1" allowBlank="0" errorTitle="Route" error="Master_DB ROUTE만 선택" type="list">
      <formula1>"ICN-HKG,ICN-LAX"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  <col width="14" customWidth="1" min="8" max="8"/>
    <col width="26" customWidth="1" min="9" max="9"/>
    <col width="12" customWidth="1" min="10" max="10"/>
  </cols>
  <sheetData>
    <row r="2">
      <c r="B2" s="1" t="inlineStr">
        <is>
          <t>작업 안내</t>
        </is>
      </c>
    </row>
    <row r="4">
      <c r="B4" s="8" t="inlineStr">
        <is>
          <t>1. 파일 구성</t>
        </is>
      </c>
    </row>
    <row r="5">
      <c r="B5" s="36" t="inlineStr">
        <is>
          <t>Master_DB : 항공 구간 요율(Weight Break)·할증(FSC/SSC)·로컬 단가 관리 (Backend)</t>
        </is>
      </c>
    </row>
    <row r="6">
      <c r="B6" s="36" t="inlineStr">
        <is>
          <t>Quote : 화물 입력 및 가견적 산출 화면 (Frontend / 원페이지 대시보드)</t>
        </is>
      </c>
    </row>
    <row r="7">
      <c r="B7" s="36" t="inlineStr">
        <is>
          <t>요율 변경 시 Master_DB의 노란색 셀만 수정. Quote 수식에는 단가를 직접 기입하지 않음.</t>
        </is>
      </c>
    </row>
    <row r="9">
      <c r="B9" s="8" t="inlineStr">
        <is>
          <t>2. 사용 방법</t>
        </is>
      </c>
    </row>
    <row r="10">
      <c r="B10" s="36" t="inlineStr">
        <is>
          <t>Quote 시트에서 Route, 치수(L/W/H), 수량, 실중량, B/L 수를 입력한다. (주황색 셀)</t>
        </is>
      </c>
    </row>
    <row r="11">
      <c r="B11" s="36" t="inlineStr">
        <is>
          <t>CBM·부피중량·C.W.·적용 Weight Break·항목별 금액·TOTAL APPX.는 자동 계산된다.</t>
        </is>
      </c>
    </row>
    <row r="12">
      <c r="B12" s="36" t="inlineStr">
        <is>
          <t>마스터 요율·MIN 변경은 Master_DB에서 처리하며, 필요 시 차장 확인 후 반영한다.</t>
        </is>
      </c>
    </row>
    <row r="14">
      <c r="B14" s="8" t="inlineStr">
        <is>
          <t>3. 산출 기준 (의뢰서)</t>
        </is>
      </c>
    </row>
    <row r="15">
      <c r="B15" s="36" t="inlineStr">
        <is>
          <t>CBM = L × W × H × Qty ÷ 1,000,000  /  부피중량 = CBM × 167  /  C.W. = MAX(실중량, 부피중량)</t>
        </is>
      </c>
    </row>
    <row r="16">
      <c r="B16" s="36" t="inlineStr">
        <is>
          <t>항공운임 = MAX(적용단가 × C.W., MIN)  /  FSC·SSC = 각 단가 × C.W.</t>
        </is>
      </c>
    </row>
    <row r="17">
      <c r="B17" s="36" t="inlineStr">
        <is>
          <t>로컬: Handling·Doc는 건(BL) 단위, Trucking = MAX(단가 × CBM, MIN)</t>
        </is>
      </c>
    </row>
    <row r="18">
      <c r="B18" s="36" t="inlineStr">
        <is>
          <t>Quote 단가는 Master_DB를 VLOOKUP·INDEX/MATCH로 참조. 빈 입력 시 IFERROR로 오류 표시 방지.</t>
        </is>
      </c>
    </row>
    <row r="20">
      <c r="B20" s="8" t="inlineStr">
        <is>
          <t>4. 검증 CASE (Route: ICN-HKG) — Quote 입력란에 아래 수치 적용</t>
        </is>
      </c>
    </row>
    <row r="21" ht="28" customHeight="1">
      <c r="B21" s="37" t="inlineStr">
        <is>
          <t>CASE</t>
        </is>
      </c>
      <c r="C21" s="37" t="inlineStr">
        <is>
          <t>L</t>
        </is>
      </c>
      <c r="D21" s="37" t="inlineStr">
        <is>
          <t>W</t>
        </is>
      </c>
      <c r="E21" s="37" t="inlineStr">
        <is>
          <t>H</t>
        </is>
      </c>
      <c r="F21" s="37" t="inlineStr">
        <is>
          <t>Qty</t>
        </is>
      </c>
      <c r="G21" s="37" t="inlineStr">
        <is>
          <t>Gross</t>
        </is>
      </c>
      <c r="H21" s="37" t="inlineStr">
        <is>
          <t>C.W.</t>
        </is>
      </c>
      <c r="I21" s="37" t="inlineStr">
        <is>
          <t>확인 포인트</t>
        </is>
      </c>
      <c r="J21" s="37" t="inlineStr">
        <is>
          <t>TOTAL APPX.</t>
        </is>
      </c>
    </row>
    <row r="22">
      <c r="B22" s="38" t="inlineStr">
        <is>
          <t>A 부피화물</t>
        </is>
      </c>
      <c r="C22" s="38" t="n">
        <v>110</v>
      </c>
      <c r="D22" s="38" t="n">
        <v>110</v>
      </c>
      <c r="E22" s="38" t="n">
        <v>150</v>
      </c>
      <c r="F22" s="38" t="n">
        <v>3</v>
      </c>
      <c r="G22" s="38" t="n">
        <v>400</v>
      </c>
      <c r="H22" s="39" t="n">
        <v>909.3200000000001</v>
      </c>
      <c r="I22" s="38" t="inlineStr">
        <is>
          <t>Break +500 / $3.20</t>
        </is>
      </c>
      <c r="J22" s="40" t="n">
        <v>3728.47</v>
      </c>
    </row>
    <row r="23">
      <c r="B23" s="38" t="inlineStr">
        <is>
          <t>B 고중량</t>
        </is>
      </c>
      <c r="C23" s="38" t="n">
        <v>30</v>
      </c>
      <c r="D23" s="38" t="n">
        <v>30</v>
      </c>
      <c r="E23" s="38" t="n">
        <v>30</v>
      </c>
      <c r="F23" s="38" t="n">
        <v>1</v>
      </c>
      <c r="G23" s="38" t="n">
        <v>80</v>
      </c>
      <c r="H23" s="39" t="n">
        <v>80</v>
      </c>
      <c r="I23" s="38" t="inlineStr">
        <is>
          <t>Break +45 / $4.50</t>
        </is>
      </c>
      <c r="J23" s="40" t="n">
        <v>555</v>
      </c>
    </row>
    <row r="24">
      <c r="B24" s="38" t="inlineStr">
        <is>
          <t>C 미니멈</t>
        </is>
      </c>
      <c r="C24" s="38" t="n">
        <v>20</v>
      </c>
      <c r="D24" s="38" t="n">
        <v>20</v>
      </c>
      <c r="E24" s="38" t="n">
        <v>20</v>
      </c>
      <c r="F24" s="38" t="n">
        <v>1</v>
      </c>
      <c r="G24" s="38" t="n">
        <v>3</v>
      </c>
      <c r="H24" s="39" t="n">
        <v>3</v>
      </c>
      <c r="I24" s="38" t="inlineStr">
        <is>
          <t>Air $50 · Truck $80</t>
        </is>
      </c>
      <c r="J24" s="40" t="n">
        <v>187.25</v>
      </c>
    </row>
    <row r="26">
      <c r="B26" s="8" t="inlineStr">
        <is>
          <t>5. 데이터·배포</t>
        </is>
      </c>
    </row>
    <row r="27">
      <c r="B27" s="36" t="inlineStr">
        <is>
          <t>본 파일의 Master 수치는 의뢰서 기준 가상(dummy) 데이터이다, 검증용 CASE 3건으로 로직을 확인한 상태이다.</t>
        </is>
      </c>
    </row>
    <row r="28">
      <c r="B28" s="36" t="inlineStr">
        <is>
          <t>실요율 반영 및 항목 추가는 별도 확인 후 Master_DB에 갱신한다. (Quote 화면 구조는 유지)</t>
        </is>
      </c>
    </row>
    <row r="29">
      <c r="B29" s="36" t="inlineStr">
        <is>
          <t>시트 보호: Quote는 입력 셀만 편집 가능. 수식 수정 시 [검토] → 시트 보호 해제.</t>
        </is>
      </c>
    </row>
    <row r="30">
      <c r="B30" s="36" t="inlineStr">
        <is>
          <t>클라우드 업로드·권한: 10층 Room H Teddy 담당.</t>
        </is>
      </c>
    </row>
    <row r="32">
      <c r="B32" s="7" t="inlineStr">
        <is>
          <t>주황=입력  /  노랑(Master)=요율  /  초록=C.W.  /  회색=자동산출</t>
        </is>
      </c>
    </row>
  </sheetData>
  <mergeCells count="16">
    <mergeCell ref="B15:J15"/>
    <mergeCell ref="B7:J7"/>
    <mergeCell ref="B11:J11"/>
    <mergeCell ref="B29:J29"/>
    <mergeCell ref="B5:J5"/>
    <mergeCell ref="B20:J20"/>
    <mergeCell ref="B10:J10"/>
    <mergeCell ref="B28:J28"/>
    <mergeCell ref="B32:J32"/>
    <mergeCell ref="B17:J17"/>
    <mergeCell ref="B18:J18"/>
    <mergeCell ref="B27:J27"/>
    <mergeCell ref="B12:J12"/>
    <mergeCell ref="B6:J6"/>
    <mergeCell ref="B30:J30"/>
    <mergeCell ref="B16:J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2026-08-08T07:45:57Z</dcterms:created>
  <dcterms:modified xmlns:dcterms="http://purl.org/dc/terms/" xmlns:xsi="http://www.w3.org/2001/XMLSchema-instance" xsi:type="dcterms:W3CDTF">2026-08-08T07:45:57Z</dcterms:modified>
</cp:coreProperties>
</file>